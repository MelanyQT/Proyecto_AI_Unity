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an\Downloads\"/>
    </mc:Choice>
  </mc:AlternateContent>
  <xr:revisionPtr revIDLastSave="0" documentId="8_{BD48F394-CEC6-402D-B6F5-FD6390F0D7BD}" xr6:coauthVersionLast="47" xr6:coauthVersionMax="47" xr10:uidLastSave="{00000000-0000-0000-0000-000000000000}"/>
  <bookViews>
    <workbookView xWindow="-108" yWindow="-108" windowWidth="21336" windowHeight="11376" activeTab="3" xr2:uid="{00000000-000D-0000-FFFF-FFFF00000000}"/>
  </bookViews>
  <sheets>
    <sheet name="Datos originales" sheetId="1" r:id="rId1"/>
    <sheet name="Graficos 1" sheetId="10" r:id="rId2"/>
    <sheet name="Datos añadidos" sheetId="2" r:id="rId3"/>
    <sheet name="Graficos 2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C13" i="2"/>
  <c r="C14" i="2" s="1"/>
  <c r="B13" i="2"/>
  <c r="B14" i="2" s="1"/>
</calcChain>
</file>

<file path=xl/sharedStrings.xml><?xml version="1.0" encoding="utf-8"?>
<sst xmlns="http://schemas.openxmlformats.org/spreadsheetml/2006/main" count="196" uniqueCount="31">
  <si>
    <t>Variable analizada</t>
  </si>
  <si>
    <t>Inworld AI (2024)</t>
  </si>
  <si>
    <t>Investing News (2024)</t>
  </si>
  <si>
    <t>Masood (2024)</t>
  </si>
  <si>
    <t>Jugadores que creen que los NPCs inteligentes mejorarán la experiencia de juego</t>
  </si>
  <si>
    <t>—</t>
  </si>
  <si>
    <t>Alta expectativa de mejora con IA</t>
  </si>
  <si>
    <t>Jugadores que consideran que los NPCs influyen positivamente en la jugabilidad</t>
  </si>
  <si>
    <t>Importancia del papel de los NPCs en la inmersión</t>
  </si>
  <si>
    <t>Jugadores que se sienten frustrados por diálogos repetitivos</t>
  </si>
  <si>
    <t>Variable negativa asociada a baja satisfacción</t>
  </si>
  <si>
    <t>Jugadores que jugarían más tiempo si los NPCs fueran más realistas/adaptativos</t>
  </si>
  <si>
    <t>Relación entre adaptabilidad e inmersión</t>
  </si>
  <si>
    <t>Jugadores dispuestos a pagar más por juegos con NPCs IA</t>
  </si>
  <si>
    <t>Valor económico percibido ligado a satisfacción</t>
  </si>
  <si>
    <t>Jugadores que perciben que los NPCs actuales carecen de realismo</t>
  </si>
  <si>
    <t>Indicador de insatisfacción con los NPCs tradicionales</t>
  </si>
  <si>
    <t>Jugadores que asocian autenticidad emocional y coherencia de respuesta con mayor satisfacción</t>
  </si>
  <si>
    <t>87 %*</t>
  </si>
  <si>
    <r>
      <t>Realismo emocional como factor clave (</t>
    </r>
    <r>
      <rPr>
        <i/>
        <sz val="11"/>
        <color theme="1"/>
        <rFont val="Calibri"/>
        <family val="2"/>
        <scheme val="minor"/>
      </rPr>
      <t>estimación basada en redacción del informe</t>
    </r>
    <r>
      <rPr>
        <sz val="11"/>
        <color theme="1"/>
        <rFont val="Calibri"/>
        <family val="2"/>
        <scheme val="minor"/>
      </rPr>
      <t>)</t>
    </r>
  </si>
  <si>
    <t>Jugadores que identifican la IA como factor determinante de inmersión</t>
  </si>
  <si>
    <t>90 %*</t>
  </si>
  <si>
    <r>
      <t>Percepción general de impacto positivo de la IA (</t>
    </r>
    <r>
      <rPr>
        <i/>
        <sz val="11"/>
        <color theme="1"/>
        <rFont val="Calibri"/>
        <family val="2"/>
        <scheme val="minor"/>
      </rPr>
      <t>estimación a partir del texto del informe</t>
    </r>
    <r>
      <rPr>
        <sz val="11"/>
        <color theme="1"/>
        <rFont val="Calibri"/>
        <family val="2"/>
        <scheme val="minor"/>
      </rPr>
      <t>)</t>
    </r>
  </si>
  <si>
    <t>Jugadores que valoran la coherencia de personalidad y comportamiento del NPC</t>
  </si>
  <si>
    <t>85 %*</t>
  </si>
  <si>
    <r>
      <t>Valoración positiva de consistencia en la identidad del NPC (</t>
    </r>
    <r>
      <rPr>
        <i/>
        <sz val="11"/>
        <color theme="1"/>
        <rFont val="Calibri"/>
        <family val="2"/>
        <scheme val="minor"/>
      </rPr>
      <t>dato interpretado del análisis cualitativo de Masood, 2024</t>
    </r>
    <r>
      <rPr>
        <sz val="11"/>
        <color theme="1"/>
        <rFont val="Calibri"/>
        <family val="2"/>
        <scheme val="minor"/>
      </rPr>
      <t>)</t>
    </r>
  </si>
  <si>
    <t>Desarrolladores que advierten pérdida de control narrativo ante IA excesiva</t>
  </si>
  <si>
    <t>40 %*</t>
  </si>
  <si>
    <r>
      <t>Perspectiva crítica de los diseñadores frente a la autonomía de NPCs (</t>
    </r>
    <r>
      <rPr>
        <i/>
        <sz val="11"/>
        <color theme="1"/>
        <rFont val="Calibri"/>
        <family val="2"/>
        <scheme val="minor"/>
      </rPr>
      <t>dato cualitativo aproximado</t>
    </r>
    <r>
      <rPr>
        <sz val="11"/>
        <color theme="1"/>
        <rFont val="Calibri"/>
        <family val="2"/>
        <scheme val="minor"/>
      </rPr>
      <t>)</t>
    </r>
  </si>
  <si>
    <t>Interpretación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</si>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</sst>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9" fontId="0" fillId="0" borderId="0" xfId="1" applyFont="1"/>
    <xf numFmtId="0" fontId="4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1'!$A$2</c:f>
              <c:strCache>
                <c:ptCount val="1"/>
                <c:pt idx="0">
                  <c:v>Jugadores que creen que los NPCs inteligentes mejorarán la experiencia de juego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1'!$B$1:$D$1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1'!$B$2:$D$2</c:f>
              <c:numCache>
                <c:formatCode>0%</c:formatCode>
                <c:ptCount val="3"/>
                <c:pt idx="0">
                  <c:v>0.99</c:v>
                </c:pt>
                <c:pt idx="1">
                  <c:v>0.99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C-4E48-ACA3-5C742D65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107728"/>
        <c:axId val="1744105232"/>
      </c:barChart>
      <c:catAx>
        <c:axId val="174410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05232"/>
        <c:crosses val="autoZero"/>
        <c:auto val="1"/>
        <c:lblAlgn val="ctr"/>
        <c:lblOffset val="100"/>
        <c:noMultiLvlLbl val="0"/>
      </c:catAx>
      <c:valAx>
        <c:axId val="174410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0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1'!$A$9</c:f>
              <c:strCache>
                <c:ptCount val="1"/>
                <c:pt idx="0">
                  <c:v>Jugadores que consideran que los NPCs influyen positivamente en la jugabilidad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1'!$B$8:$D$8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1'!$B$9:$D$9</c:f>
              <c:numCache>
                <c:formatCode>General</c:formatCode>
                <c:ptCount val="3"/>
                <c:pt idx="0" formatCode="0%">
                  <c:v>0.84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6-4A64-ABEC-B0212BA1D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7280"/>
        <c:axId val="1884763952"/>
      </c:barChart>
      <c:catAx>
        <c:axId val="188476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3952"/>
        <c:crosses val="autoZero"/>
        <c:auto val="1"/>
        <c:lblAlgn val="ctr"/>
        <c:lblOffset val="100"/>
        <c:noMultiLvlLbl val="0"/>
      </c:catAx>
      <c:valAx>
        <c:axId val="1884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1'!$A$15</c:f>
              <c:strCache>
                <c:ptCount val="1"/>
                <c:pt idx="0">
                  <c:v>Jugadores que se sienten frustrados por diálogos repetitivos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1'!$B$14:$D$14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1'!$B$15:$D$15</c:f>
              <c:numCache>
                <c:formatCode>General</c:formatCode>
                <c:ptCount val="3"/>
                <c:pt idx="0" formatCode="0%">
                  <c:v>0.52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9-4FDD-AB97-333C650F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520752"/>
        <c:axId val="1903525328"/>
      </c:barChart>
      <c:catAx>
        <c:axId val="190352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25328"/>
        <c:crosses val="autoZero"/>
        <c:auto val="1"/>
        <c:lblAlgn val="ctr"/>
        <c:lblOffset val="100"/>
        <c:noMultiLvlLbl val="0"/>
      </c:catAx>
      <c:valAx>
        <c:axId val="190352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1'!$A$23</c:f>
              <c:strCache>
                <c:ptCount val="1"/>
                <c:pt idx="0">
                  <c:v>Jugadores que jugarían más tiempo si los NPCs fueran más realistas/adaptativos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1'!$B$22:$D$22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1'!$B$23:$D$23</c:f>
              <c:numCache>
                <c:formatCode>General</c:formatCode>
                <c:ptCount val="3"/>
                <c:pt idx="0" formatCode="0%">
                  <c:v>0.78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9-4889-94E0-BEF3C06FE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2704"/>
        <c:axId val="1884769360"/>
      </c:barChart>
      <c:catAx>
        <c:axId val="188476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9360"/>
        <c:crosses val="autoZero"/>
        <c:auto val="1"/>
        <c:lblAlgn val="ctr"/>
        <c:lblOffset val="100"/>
        <c:noMultiLvlLbl val="0"/>
      </c:catAx>
      <c:valAx>
        <c:axId val="188476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1'!$A$30</c:f>
              <c:strCache>
                <c:ptCount val="1"/>
                <c:pt idx="0">
                  <c:v>Jugadores dispuestos a pagar más por juegos con NPCs 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1'!$B$29:$D$29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1'!$B$30:$D$30</c:f>
              <c:numCache>
                <c:formatCode>General</c:formatCode>
                <c:ptCount val="3"/>
                <c:pt idx="0" formatCode="0%">
                  <c:v>0.81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4-44BD-AC39-993C0C6AF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519504"/>
        <c:axId val="1903529072"/>
      </c:barChart>
      <c:catAx>
        <c:axId val="190351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29072"/>
        <c:crosses val="autoZero"/>
        <c:auto val="1"/>
        <c:lblAlgn val="ctr"/>
        <c:lblOffset val="100"/>
        <c:noMultiLvlLbl val="0"/>
      </c:catAx>
      <c:valAx>
        <c:axId val="190352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1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1'!$A$40</c:f>
              <c:strCache>
                <c:ptCount val="1"/>
                <c:pt idx="0">
                  <c:v>Jugadores que perciben que los NPCs actuales carecen de realismo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1'!$B$39:$D$39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1'!$B$40:$D$40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0.73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E-44EA-9E4A-D67ABFFCC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1040"/>
        <c:axId val="1884758960"/>
      </c:barChart>
      <c:catAx>
        <c:axId val="188476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58960"/>
        <c:crosses val="autoZero"/>
        <c:auto val="1"/>
        <c:lblAlgn val="ctr"/>
        <c:lblOffset val="100"/>
        <c:noMultiLvlLbl val="0"/>
      </c:catAx>
      <c:valAx>
        <c:axId val="188475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1'!$A$47</c:f>
              <c:strCache>
                <c:ptCount val="1"/>
                <c:pt idx="0">
                  <c:v>Jugadores que asocian autenticidad emocional y coherencia de respuesta con mayor satisfacción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1'!$B$46:$D$46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1'!$B$47:$D$47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0.87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D-4F3B-A587-393A3EA72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6864"/>
        <c:axId val="1884773936"/>
      </c:barChart>
      <c:catAx>
        <c:axId val="188476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73936"/>
        <c:crosses val="autoZero"/>
        <c:auto val="1"/>
        <c:lblAlgn val="ctr"/>
        <c:lblOffset val="100"/>
        <c:noMultiLvlLbl val="0"/>
      </c:catAx>
      <c:valAx>
        <c:axId val="188477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1'!$A$51</c:f>
              <c:strCache>
                <c:ptCount val="1"/>
                <c:pt idx="0">
                  <c:v>Jugadores que identifican la IA como factor determinante de inmersión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1'!$B$50:$D$50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1'!$B$51:$D$51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0.9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3-47BF-9493-30E41097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1456"/>
        <c:axId val="1884772688"/>
      </c:barChart>
      <c:catAx>
        <c:axId val="188476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72688"/>
        <c:crosses val="autoZero"/>
        <c:auto val="1"/>
        <c:lblAlgn val="ctr"/>
        <c:lblOffset val="100"/>
        <c:noMultiLvlLbl val="0"/>
      </c:catAx>
      <c:valAx>
        <c:axId val="188477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1'!$A$58</c:f>
              <c:strCache>
                <c:ptCount val="1"/>
                <c:pt idx="0">
                  <c:v>Jugadores que valoran la coherencia de personalidad y comportamiento del NPC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1'!$B$57:$D$57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1'!$B$58:$D$58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 formatCode="0%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5-4461-985D-D70292962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58128"/>
        <c:axId val="1884773520"/>
      </c:barChart>
      <c:catAx>
        <c:axId val="188475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73520"/>
        <c:crosses val="autoZero"/>
        <c:auto val="1"/>
        <c:lblAlgn val="ctr"/>
        <c:lblOffset val="100"/>
        <c:noMultiLvlLbl val="0"/>
      </c:catAx>
      <c:valAx>
        <c:axId val="188477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1'!$A$63</c:f>
              <c:strCache>
                <c:ptCount val="1"/>
                <c:pt idx="0">
                  <c:v>Desarrolladores que advierten pérdida de control narrativo ante IA excesiva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1'!$B$62:$D$62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1'!$B$63:$D$63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 formatCode="0%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2-4CB8-9761-80131384D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526160"/>
        <c:axId val="1903517840"/>
      </c:barChart>
      <c:catAx>
        <c:axId val="190352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17840"/>
        <c:crosses val="autoZero"/>
        <c:auto val="1"/>
        <c:lblAlgn val="ctr"/>
        <c:lblOffset val="100"/>
        <c:noMultiLvlLbl val="0"/>
      </c:catAx>
      <c:valAx>
        <c:axId val="19035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2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2'!$A$2</c:f>
              <c:strCache>
                <c:ptCount val="1"/>
                <c:pt idx="0">
                  <c:v>Jugadores que creen que los NPCs inteligentes mejorarán la experiencia de juego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2'!$B$1:$D$1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2'!$B$2:$D$2</c:f>
              <c:numCache>
                <c:formatCode>0%</c:formatCode>
                <c:ptCount val="3"/>
                <c:pt idx="0">
                  <c:v>0.99</c:v>
                </c:pt>
                <c:pt idx="1">
                  <c:v>0.99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F-42FB-891D-760F96383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107728"/>
        <c:axId val="1744105232"/>
      </c:barChart>
      <c:catAx>
        <c:axId val="174410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05232"/>
        <c:crosses val="autoZero"/>
        <c:auto val="1"/>
        <c:lblAlgn val="ctr"/>
        <c:lblOffset val="100"/>
        <c:noMultiLvlLbl val="0"/>
      </c:catAx>
      <c:valAx>
        <c:axId val="174410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0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2'!$A$9</c:f>
              <c:strCache>
                <c:ptCount val="1"/>
                <c:pt idx="0">
                  <c:v>Jugadores que consideran que los NPCs influyen positivamente en la jugabilidad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2'!$B$8:$D$8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2'!$B$9:$D$9</c:f>
              <c:numCache>
                <c:formatCode>0%</c:formatCode>
                <c:ptCount val="3"/>
                <c:pt idx="0">
                  <c:v>0.84</c:v>
                </c:pt>
                <c:pt idx="1">
                  <c:v>0.43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4-42E4-A533-119A602DE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7280"/>
        <c:axId val="1884763952"/>
      </c:barChart>
      <c:catAx>
        <c:axId val="188476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3952"/>
        <c:crosses val="autoZero"/>
        <c:auto val="1"/>
        <c:lblAlgn val="ctr"/>
        <c:lblOffset val="100"/>
        <c:noMultiLvlLbl val="0"/>
      </c:catAx>
      <c:valAx>
        <c:axId val="1884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2'!$A$15</c:f>
              <c:strCache>
                <c:ptCount val="1"/>
                <c:pt idx="0">
                  <c:v>Jugadores que se sienten frustrados por diálogos repetitivos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2'!$B$14:$D$14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2'!$B$15:$D$15</c:f>
              <c:numCache>
                <c:formatCode>0%</c:formatCode>
                <c:ptCount val="3"/>
                <c:pt idx="0">
                  <c:v>0.52</c:v>
                </c:pt>
                <c:pt idx="1">
                  <c:v>0.43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8-49D0-AA52-DAFB8ED4F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520752"/>
        <c:axId val="1903525328"/>
      </c:barChart>
      <c:catAx>
        <c:axId val="190352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25328"/>
        <c:crosses val="autoZero"/>
        <c:auto val="1"/>
        <c:lblAlgn val="ctr"/>
        <c:lblOffset val="100"/>
        <c:noMultiLvlLbl val="0"/>
      </c:catAx>
      <c:valAx>
        <c:axId val="190352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2'!$A$23</c:f>
              <c:strCache>
                <c:ptCount val="1"/>
                <c:pt idx="0">
                  <c:v>Jugadores que jugarían más tiempo si los NPCs fueran más realistas/adaptativos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2'!$B$22:$D$22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2'!$B$23:$D$23</c:f>
              <c:numCache>
                <c:formatCode>0%</c:formatCode>
                <c:ptCount val="3"/>
                <c:pt idx="0">
                  <c:v>0.78</c:v>
                </c:pt>
                <c:pt idx="1">
                  <c:v>0.43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5-4AD1-946D-FFABA6671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2704"/>
        <c:axId val="1884769360"/>
      </c:barChart>
      <c:catAx>
        <c:axId val="188476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9360"/>
        <c:crosses val="autoZero"/>
        <c:auto val="1"/>
        <c:lblAlgn val="ctr"/>
        <c:lblOffset val="100"/>
        <c:noMultiLvlLbl val="0"/>
      </c:catAx>
      <c:valAx>
        <c:axId val="188476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2'!$A$30</c:f>
              <c:strCache>
                <c:ptCount val="1"/>
                <c:pt idx="0">
                  <c:v>Jugadores dispuestos a pagar más por juegos con NPCs 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2'!$B$29:$D$29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2'!$B$30:$D$30</c:f>
              <c:numCache>
                <c:formatCode>0%</c:formatCode>
                <c:ptCount val="3"/>
                <c:pt idx="0">
                  <c:v>0.81</c:v>
                </c:pt>
                <c:pt idx="1">
                  <c:v>0.43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9-479C-892A-CA27A525F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519504"/>
        <c:axId val="1903529072"/>
      </c:barChart>
      <c:catAx>
        <c:axId val="190351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29072"/>
        <c:crosses val="autoZero"/>
        <c:auto val="1"/>
        <c:lblAlgn val="ctr"/>
        <c:lblOffset val="100"/>
        <c:noMultiLvlLbl val="0"/>
      </c:catAx>
      <c:valAx>
        <c:axId val="190352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1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2'!$A$40</c:f>
              <c:strCache>
                <c:ptCount val="1"/>
                <c:pt idx="0">
                  <c:v>Jugadores que perciben que los NPCs actuales carecen de realismo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2'!$B$39:$D$39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2'!$B$40:$D$40</c:f>
              <c:numCache>
                <c:formatCode>0%</c:formatCode>
                <c:ptCount val="3"/>
                <c:pt idx="0">
                  <c:v>0.79</c:v>
                </c:pt>
                <c:pt idx="1">
                  <c:v>0.73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8-4033-9CB2-3E012E1F1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1040"/>
        <c:axId val="1884758960"/>
      </c:barChart>
      <c:catAx>
        <c:axId val="188476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58960"/>
        <c:crosses val="autoZero"/>
        <c:auto val="1"/>
        <c:lblAlgn val="ctr"/>
        <c:lblOffset val="100"/>
        <c:noMultiLvlLbl val="0"/>
      </c:catAx>
      <c:valAx>
        <c:axId val="188475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2'!$A$47</c:f>
              <c:strCache>
                <c:ptCount val="1"/>
                <c:pt idx="0">
                  <c:v>Jugadores que asocian autenticidad emocional y coherencia de respuesta con mayor satisfacción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2'!$B$46:$D$46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2'!$B$47:$D$47</c:f>
              <c:numCache>
                <c:formatCode>0%</c:formatCode>
                <c:ptCount val="3"/>
                <c:pt idx="0">
                  <c:v>0.79</c:v>
                </c:pt>
                <c:pt idx="1">
                  <c:v>0.87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B-48BF-BB18-54BB4D048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6864"/>
        <c:axId val="1884773936"/>
      </c:barChart>
      <c:catAx>
        <c:axId val="188476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73936"/>
        <c:crosses val="autoZero"/>
        <c:auto val="1"/>
        <c:lblAlgn val="ctr"/>
        <c:lblOffset val="100"/>
        <c:noMultiLvlLbl val="0"/>
      </c:catAx>
      <c:valAx>
        <c:axId val="188477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2'!$A$51</c:f>
              <c:strCache>
                <c:ptCount val="1"/>
                <c:pt idx="0">
                  <c:v>Jugadores que identifican la IA como factor determinante de inmersión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2'!$B$50:$D$50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2'!$B$51:$D$51</c:f>
              <c:numCache>
                <c:formatCode>0%</c:formatCode>
                <c:ptCount val="3"/>
                <c:pt idx="0">
                  <c:v>0.79</c:v>
                </c:pt>
                <c:pt idx="1">
                  <c:v>0.9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2-428C-8087-8A2B6103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61456"/>
        <c:axId val="1884772688"/>
      </c:barChart>
      <c:catAx>
        <c:axId val="188476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72688"/>
        <c:crosses val="autoZero"/>
        <c:auto val="1"/>
        <c:lblAlgn val="ctr"/>
        <c:lblOffset val="100"/>
        <c:noMultiLvlLbl val="0"/>
      </c:catAx>
      <c:valAx>
        <c:axId val="188477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2'!$A$58</c:f>
              <c:strCache>
                <c:ptCount val="1"/>
                <c:pt idx="0">
                  <c:v>Jugadores que valoran la coherencia de personalidad y comportamiento del NPC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2'!$B$57:$D$57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2'!$B$58:$D$58</c:f>
              <c:numCache>
                <c:formatCode>0%</c:formatCode>
                <c:ptCount val="3"/>
                <c:pt idx="0">
                  <c:v>0.79</c:v>
                </c:pt>
                <c:pt idx="1">
                  <c:v>0.43</c:v>
                </c:pt>
                <c:pt idx="2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D-4E7D-856F-EFDA62913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58128"/>
        <c:axId val="1884773520"/>
      </c:barChart>
      <c:catAx>
        <c:axId val="188475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73520"/>
        <c:crosses val="autoZero"/>
        <c:auto val="1"/>
        <c:lblAlgn val="ctr"/>
        <c:lblOffset val="100"/>
        <c:noMultiLvlLbl val="0"/>
      </c:catAx>
      <c:valAx>
        <c:axId val="188477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2'!$A$63</c:f>
              <c:strCache>
                <c:ptCount val="1"/>
                <c:pt idx="0">
                  <c:v>Desarrolladores que advierten pérdida de control narrativo ante IA excesiva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2'!$B$62:$D$62</c:f>
              <c:strCache>
                <c:ptCount val="3"/>
                <c:pt idx="0">
                  <c:v>Inworld AI (2024)</c:v>
                </c:pt>
                <c:pt idx="1">
                  <c:v>Investing News (2024)</c:v>
                </c:pt>
                <c:pt idx="2">
                  <c:v>Masood (2024)</c:v>
                </c:pt>
              </c:strCache>
            </c:strRef>
          </c:cat>
          <c:val>
            <c:numRef>
              <c:f>'Graficos 2'!$B$63:$D$63</c:f>
              <c:numCache>
                <c:formatCode>0%</c:formatCode>
                <c:ptCount val="3"/>
                <c:pt idx="0">
                  <c:v>0.79</c:v>
                </c:pt>
                <c:pt idx="1">
                  <c:v>0.43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0-4BF0-A893-E42B43A14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526160"/>
        <c:axId val="1903517840"/>
      </c:barChart>
      <c:catAx>
        <c:axId val="190352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17840"/>
        <c:crosses val="autoZero"/>
        <c:auto val="1"/>
        <c:lblAlgn val="ctr"/>
        <c:lblOffset val="100"/>
        <c:noMultiLvlLbl val="0"/>
      </c:catAx>
      <c:valAx>
        <c:axId val="19035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2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0</xdr:rowOff>
    </xdr:from>
    <xdr:to>
      <xdr:col>10</xdr:col>
      <xdr:colOff>257175</xdr:colOff>
      <xdr:row>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219075</xdr:colOff>
      <xdr:row>6</xdr:row>
      <xdr:rowOff>180975</xdr:rowOff>
    </xdr:from>
    <xdr:to>
      <xdr:col>10</xdr:col>
      <xdr:colOff>219075</xdr:colOff>
      <xdr:row>11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180975</xdr:colOff>
      <xdr:row>13</xdr:row>
      <xdr:rowOff>9525</xdr:rowOff>
    </xdr:from>
    <xdr:to>
      <xdr:col>10</xdr:col>
      <xdr:colOff>180975</xdr:colOff>
      <xdr:row>19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190500</xdr:colOff>
      <xdr:row>21</xdr:row>
      <xdr:rowOff>0</xdr:rowOff>
    </xdr:from>
    <xdr:to>
      <xdr:col>10</xdr:col>
      <xdr:colOff>190500</xdr:colOff>
      <xdr:row>26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200025</xdr:colOff>
      <xdr:row>27</xdr:row>
      <xdr:rowOff>171450</xdr:rowOff>
    </xdr:from>
    <xdr:to>
      <xdr:col>10</xdr:col>
      <xdr:colOff>200025</xdr:colOff>
      <xdr:row>36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161925</xdr:colOff>
      <xdr:row>38</xdr:row>
      <xdr:rowOff>0</xdr:rowOff>
    </xdr:from>
    <xdr:to>
      <xdr:col>10</xdr:col>
      <xdr:colOff>161925</xdr:colOff>
      <xdr:row>43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171450</xdr:colOff>
      <xdr:row>45</xdr:row>
      <xdr:rowOff>9525</xdr:rowOff>
    </xdr:from>
    <xdr:to>
      <xdr:col>10</xdr:col>
      <xdr:colOff>171450</xdr:colOff>
      <xdr:row>47</xdr:row>
      <xdr:rowOff>85725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161925</xdr:colOff>
      <xdr:row>48</xdr:row>
      <xdr:rowOff>180975</xdr:rowOff>
    </xdr:from>
    <xdr:to>
      <xdr:col>10</xdr:col>
      <xdr:colOff>161925</xdr:colOff>
      <xdr:row>54</xdr:row>
      <xdr:rowOff>66675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152400</xdr:colOff>
      <xdr:row>56</xdr:row>
      <xdr:rowOff>9525</xdr:rowOff>
    </xdr:from>
    <xdr:to>
      <xdr:col>10</xdr:col>
      <xdr:colOff>152400</xdr:colOff>
      <xdr:row>59</xdr:row>
      <xdr:rowOff>85725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152400</xdr:colOff>
      <xdr:row>61</xdr:row>
      <xdr:rowOff>0</xdr:rowOff>
    </xdr:from>
    <xdr:to>
      <xdr:col>10</xdr:col>
      <xdr:colOff>152400</xdr:colOff>
      <xdr:row>66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0</xdr:rowOff>
    </xdr:from>
    <xdr:to>
      <xdr:col>10</xdr:col>
      <xdr:colOff>257175</xdr:colOff>
      <xdr:row>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219075</xdr:colOff>
      <xdr:row>6</xdr:row>
      <xdr:rowOff>180975</xdr:rowOff>
    </xdr:from>
    <xdr:to>
      <xdr:col>10</xdr:col>
      <xdr:colOff>219075</xdr:colOff>
      <xdr:row>11</xdr:row>
      <xdr:rowOff>66675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180975</xdr:colOff>
      <xdr:row>13</xdr:row>
      <xdr:rowOff>9525</xdr:rowOff>
    </xdr:from>
    <xdr:to>
      <xdr:col>10</xdr:col>
      <xdr:colOff>180975</xdr:colOff>
      <xdr:row>19</xdr:row>
      <xdr:rowOff>85725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190500</xdr:colOff>
      <xdr:row>21</xdr:row>
      <xdr:rowOff>0</xdr:rowOff>
    </xdr:from>
    <xdr:to>
      <xdr:col>10</xdr:col>
      <xdr:colOff>190500</xdr:colOff>
      <xdr:row>26</xdr:row>
      <xdr:rowOff>76200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200025</xdr:colOff>
      <xdr:row>27</xdr:row>
      <xdr:rowOff>171450</xdr:rowOff>
    </xdr:from>
    <xdr:to>
      <xdr:col>10</xdr:col>
      <xdr:colOff>200025</xdr:colOff>
      <xdr:row>36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161925</xdr:colOff>
      <xdr:row>38</xdr:row>
      <xdr:rowOff>0</xdr:rowOff>
    </xdr:from>
    <xdr:to>
      <xdr:col>10</xdr:col>
      <xdr:colOff>161925</xdr:colOff>
      <xdr:row>43</xdr:row>
      <xdr:rowOff>76200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171450</xdr:colOff>
      <xdr:row>45</xdr:row>
      <xdr:rowOff>9525</xdr:rowOff>
    </xdr:from>
    <xdr:to>
      <xdr:col>10</xdr:col>
      <xdr:colOff>171450</xdr:colOff>
      <xdr:row>47</xdr:row>
      <xdr:rowOff>85725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161925</xdr:colOff>
      <xdr:row>48</xdr:row>
      <xdr:rowOff>180975</xdr:rowOff>
    </xdr:from>
    <xdr:to>
      <xdr:col>10</xdr:col>
      <xdr:colOff>161925</xdr:colOff>
      <xdr:row>54</xdr:row>
      <xdr:rowOff>66675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152400</xdr:colOff>
      <xdr:row>56</xdr:row>
      <xdr:rowOff>9525</xdr:rowOff>
    </xdr:from>
    <xdr:to>
      <xdr:col>10</xdr:col>
      <xdr:colOff>152400</xdr:colOff>
      <xdr:row>59</xdr:row>
      <xdr:rowOff>85725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152400</xdr:colOff>
      <xdr:row>61</xdr:row>
      <xdr:rowOff>0</xdr:rowOff>
    </xdr:from>
    <xdr:to>
      <xdr:col>10</xdr:col>
      <xdr:colOff>152400</xdr:colOff>
      <xdr:row>66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B15" sqref="B15"/>
    </sheetView>
  </sheetViews>
  <sheetFormatPr baseColWidth="10" defaultColWidth="8.88671875" defaultRowHeight="14.4" x14ac:dyDescent="0.3"/>
  <cols>
    <col min="1" max="1" width="64" customWidth="1"/>
    <col min="2" max="2" width="14.109375" customWidth="1"/>
    <col min="3" max="3" width="15.88671875" customWidth="1"/>
    <col min="4" max="4" width="11.33203125" customWidth="1"/>
    <col min="5" max="5" width="50.88671875" customWidth="1"/>
  </cols>
  <sheetData>
    <row r="1" spans="1:5" ht="28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29</v>
      </c>
    </row>
    <row r="2" spans="1:5" ht="28.2" customHeight="1" x14ac:dyDescent="0.3">
      <c r="A2" s="1" t="s">
        <v>4</v>
      </c>
      <c r="B2" s="2">
        <v>0.99</v>
      </c>
      <c r="C2" s="2">
        <v>0.99</v>
      </c>
      <c r="D2" s="3" t="s">
        <v>5</v>
      </c>
      <c r="E2" s="4" t="s">
        <v>6</v>
      </c>
    </row>
    <row r="3" spans="1:5" ht="28.2" customHeight="1" x14ac:dyDescent="0.3">
      <c r="A3" s="1" t="s">
        <v>7</v>
      </c>
      <c r="B3" s="2">
        <v>0.84</v>
      </c>
      <c r="C3" s="3" t="s">
        <v>5</v>
      </c>
      <c r="D3" s="3" t="s">
        <v>5</v>
      </c>
      <c r="E3" s="4" t="s">
        <v>8</v>
      </c>
    </row>
    <row r="4" spans="1:5" ht="28.2" customHeight="1" x14ac:dyDescent="0.3">
      <c r="A4" s="1" t="s">
        <v>9</v>
      </c>
      <c r="B4" s="2">
        <v>0.52</v>
      </c>
      <c r="C4" s="3" t="s">
        <v>5</v>
      </c>
      <c r="D4" s="3" t="s">
        <v>5</v>
      </c>
      <c r="E4" s="4" t="s">
        <v>10</v>
      </c>
    </row>
    <row r="5" spans="1:5" ht="28.2" customHeight="1" x14ac:dyDescent="0.3">
      <c r="A5" s="1" t="s">
        <v>11</v>
      </c>
      <c r="B5" s="2">
        <v>0.78</v>
      </c>
      <c r="C5" s="3" t="s">
        <v>5</v>
      </c>
      <c r="D5" s="3" t="s">
        <v>5</v>
      </c>
      <c r="E5" s="4" t="s">
        <v>12</v>
      </c>
    </row>
    <row r="6" spans="1:5" ht="28.2" customHeight="1" x14ac:dyDescent="0.3">
      <c r="A6" s="1" t="s">
        <v>13</v>
      </c>
      <c r="B6" s="2">
        <v>0.81</v>
      </c>
      <c r="C6" s="3" t="s">
        <v>5</v>
      </c>
      <c r="D6" s="3" t="s">
        <v>5</v>
      </c>
      <c r="E6" s="4" t="s">
        <v>14</v>
      </c>
    </row>
    <row r="7" spans="1:5" ht="28.2" customHeight="1" x14ac:dyDescent="0.3">
      <c r="A7" s="1" t="s">
        <v>15</v>
      </c>
      <c r="B7" s="3" t="s">
        <v>5</v>
      </c>
      <c r="C7" s="2">
        <v>0.73</v>
      </c>
      <c r="D7" s="3" t="s">
        <v>5</v>
      </c>
      <c r="E7" s="4" t="s">
        <v>16</v>
      </c>
    </row>
    <row r="8" spans="1:5" ht="28.2" customHeight="1" x14ac:dyDescent="0.3">
      <c r="A8" s="1" t="s">
        <v>17</v>
      </c>
      <c r="B8" s="3" t="s">
        <v>5</v>
      </c>
      <c r="C8" s="3" t="s">
        <v>18</v>
      </c>
      <c r="D8" s="3" t="s">
        <v>5</v>
      </c>
      <c r="E8" s="4" t="s">
        <v>19</v>
      </c>
    </row>
    <row r="9" spans="1:5" ht="28.2" customHeight="1" x14ac:dyDescent="0.3">
      <c r="A9" s="1" t="s">
        <v>20</v>
      </c>
      <c r="B9" s="3" t="s">
        <v>5</v>
      </c>
      <c r="C9" s="3" t="s">
        <v>21</v>
      </c>
      <c r="D9" s="3" t="s">
        <v>5</v>
      </c>
      <c r="E9" s="4" t="s">
        <v>22</v>
      </c>
    </row>
    <row r="10" spans="1:5" ht="28.2" customHeight="1" x14ac:dyDescent="0.3">
      <c r="A10" s="1" t="s">
        <v>23</v>
      </c>
      <c r="B10" s="3" t="s">
        <v>5</v>
      </c>
      <c r="C10" s="3" t="s">
        <v>5</v>
      </c>
      <c r="D10" s="3" t="s">
        <v>24</v>
      </c>
      <c r="E10" s="4" t="s">
        <v>25</v>
      </c>
    </row>
    <row r="11" spans="1:5" ht="28.2" customHeight="1" x14ac:dyDescent="0.3">
      <c r="A11" s="1" t="s">
        <v>26</v>
      </c>
      <c r="B11" s="3" t="s">
        <v>5</v>
      </c>
      <c r="C11" s="3" t="s">
        <v>5</v>
      </c>
      <c r="D11" s="3" t="s">
        <v>27</v>
      </c>
      <c r="E11" s="4" t="s">
        <v>28</v>
      </c>
    </row>
    <row r="13" spans="1:5" x14ac:dyDescent="0.3">
      <c r="B13" s="6"/>
    </row>
    <row r="14" spans="1:5" ht="30" customHeight="1" x14ac:dyDescent="0.3">
      <c r="B14" s="7"/>
    </row>
    <row r="15" spans="1:5" ht="30" customHeight="1" x14ac:dyDescent="0.3"/>
    <row r="16" spans="1:5" ht="30" customHeight="1" x14ac:dyDescent="0.3"/>
    <row r="17" ht="30" customHeight="1" x14ac:dyDescent="0.3"/>
    <row r="18" ht="30" customHeight="1" x14ac:dyDescent="0.3"/>
    <row r="19" ht="30" customHeight="1" x14ac:dyDescent="0.3"/>
    <row r="20" ht="30" customHeight="1" x14ac:dyDescent="0.3"/>
    <row r="21" ht="30" customHeight="1" x14ac:dyDescent="0.3"/>
    <row r="22" ht="30" customHeight="1" x14ac:dyDescent="0.3"/>
    <row r="23" ht="30" customHeight="1" x14ac:dyDescent="0.3"/>
    <row r="24" ht="30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>
      <selection activeCell="C69" sqref="C69"/>
    </sheetView>
  </sheetViews>
  <sheetFormatPr baseColWidth="10" defaultRowHeight="14.4" x14ac:dyDescent="0.3"/>
  <sheetData>
    <row r="1" spans="1:4" ht="28.8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129.6" x14ac:dyDescent="0.3">
      <c r="A2" s="1" t="s">
        <v>4</v>
      </c>
      <c r="B2" s="2">
        <v>0.99</v>
      </c>
      <c r="C2" s="2">
        <v>0.99</v>
      </c>
      <c r="D2" s="3" t="s">
        <v>5</v>
      </c>
    </row>
    <row r="8" spans="1:4" ht="28.8" x14ac:dyDescent="0.3">
      <c r="A8" s="5" t="s">
        <v>0</v>
      </c>
      <c r="B8" s="5" t="s">
        <v>1</v>
      </c>
      <c r="C8" s="5" t="s">
        <v>2</v>
      </c>
      <c r="D8" s="5" t="s">
        <v>3</v>
      </c>
    </row>
    <row r="9" spans="1:4" ht="129.6" x14ac:dyDescent="0.3">
      <c r="A9" s="1" t="s">
        <v>7</v>
      </c>
      <c r="B9" s="2">
        <v>0.84</v>
      </c>
      <c r="C9" s="3" t="s">
        <v>5</v>
      </c>
      <c r="D9" s="3" t="s">
        <v>5</v>
      </c>
    </row>
    <row r="14" spans="1:4" ht="28.8" x14ac:dyDescent="0.3">
      <c r="A14" s="5" t="s">
        <v>0</v>
      </c>
      <c r="B14" s="5" t="s">
        <v>1</v>
      </c>
      <c r="C14" s="5" t="s">
        <v>2</v>
      </c>
      <c r="D14" s="5" t="s">
        <v>3</v>
      </c>
    </row>
    <row r="15" spans="1:4" ht="86.4" x14ac:dyDescent="0.3">
      <c r="A15" s="1" t="s">
        <v>9</v>
      </c>
      <c r="B15" s="2">
        <v>0.52</v>
      </c>
      <c r="C15" s="3" t="s">
        <v>5</v>
      </c>
      <c r="D15" s="3" t="s">
        <v>5</v>
      </c>
    </row>
    <row r="22" spans="1:4" ht="28.8" x14ac:dyDescent="0.3">
      <c r="A22" s="5" t="s">
        <v>0</v>
      </c>
      <c r="B22" s="5" t="s">
        <v>1</v>
      </c>
      <c r="C22" s="5" t="s">
        <v>2</v>
      </c>
      <c r="D22" s="5" t="s">
        <v>3</v>
      </c>
    </row>
    <row r="23" spans="1:4" ht="100.8" x14ac:dyDescent="0.3">
      <c r="A23" s="1" t="s">
        <v>11</v>
      </c>
      <c r="B23" s="2">
        <v>0.78</v>
      </c>
      <c r="C23" s="3" t="s">
        <v>5</v>
      </c>
      <c r="D23" s="3" t="s">
        <v>5</v>
      </c>
    </row>
    <row r="29" spans="1:4" ht="28.8" x14ac:dyDescent="0.3">
      <c r="A29" s="5" t="s">
        <v>0</v>
      </c>
      <c r="B29" s="5" t="s">
        <v>1</v>
      </c>
      <c r="C29" s="5" t="s">
        <v>2</v>
      </c>
      <c r="D29" s="5" t="s">
        <v>3</v>
      </c>
    </row>
    <row r="30" spans="1:4" ht="72" x14ac:dyDescent="0.3">
      <c r="A30" s="1" t="s">
        <v>13</v>
      </c>
      <c r="B30" s="2">
        <v>0.81</v>
      </c>
      <c r="C30" s="3" t="s">
        <v>5</v>
      </c>
      <c r="D30" s="3" t="s">
        <v>5</v>
      </c>
    </row>
    <row r="39" spans="1:4" ht="28.8" x14ac:dyDescent="0.3">
      <c r="A39" s="5" t="s">
        <v>0</v>
      </c>
      <c r="B39" s="5" t="s">
        <v>1</v>
      </c>
      <c r="C39" s="5" t="s">
        <v>2</v>
      </c>
      <c r="D39" s="5" t="s">
        <v>3</v>
      </c>
    </row>
    <row r="40" spans="1:4" ht="115.2" x14ac:dyDescent="0.3">
      <c r="A40" s="1" t="s">
        <v>15</v>
      </c>
      <c r="B40" s="3" t="s">
        <v>5</v>
      </c>
      <c r="C40" s="2">
        <v>0.73</v>
      </c>
      <c r="D40" s="3" t="s">
        <v>5</v>
      </c>
    </row>
    <row r="46" spans="1:4" ht="28.8" x14ac:dyDescent="0.3">
      <c r="A46" s="5" t="s">
        <v>0</v>
      </c>
      <c r="B46" s="5" t="s">
        <v>1</v>
      </c>
      <c r="C46" s="5" t="s">
        <v>2</v>
      </c>
      <c r="D46" s="5" t="s">
        <v>3</v>
      </c>
    </row>
    <row r="47" spans="1:4" ht="129.6" x14ac:dyDescent="0.3">
      <c r="A47" s="1" t="s">
        <v>17</v>
      </c>
      <c r="B47" s="3" t="s">
        <v>5</v>
      </c>
      <c r="C47" s="2">
        <v>0.87</v>
      </c>
      <c r="D47" s="3" t="s">
        <v>5</v>
      </c>
    </row>
    <row r="50" spans="1:4" ht="28.8" x14ac:dyDescent="0.3">
      <c r="A50" s="5" t="s">
        <v>0</v>
      </c>
      <c r="B50" s="5" t="s">
        <v>1</v>
      </c>
      <c r="C50" s="5" t="s">
        <v>2</v>
      </c>
      <c r="D50" s="5" t="s">
        <v>3</v>
      </c>
    </row>
    <row r="51" spans="1:4" ht="115.2" x14ac:dyDescent="0.3">
      <c r="A51" s="1" t="s">
        <v>20</v>
      </c>
      <c r="B51" s="3" t="s">
        <v>5</v>
      </c>
      <c r="C51" s="2">
        <v>0.9</v>
      </c>
      <c r="D51" s="3" t="s">
        <v>5</v>
      </c>
    </row>
    <row r="57" spans="1:4" ht="28.8" x14ac:dyDescent="0.3">
      <c r="A57" s="5" t="s">
        <v>0</v>
      </c>
      <c r="B57" s="5" t="s">
        <v>1</v>
      </c>
      <c r="C57" s="5" t="s">
        <v>2</v>
      </c>
      <c r="D57" s="5" t="s">
        <v>3</v>
      </c>
    </row>
    <row r="58" spans="1:4" ht="144" x14ac:dyDescent="0.3">
      <c r="A58" s="1" t="s">
        <v>23</v>
      </c>
      <c r="B58" s="3" t="s">
        <v>30</v>
      </c>
      <c r="C58" s="3" t="s">
        <v>30</v>
      </c>
      <c r="D58" s="2">
        <v>0.85</v>
      </c>
    </row>
    <row r="62" spans="1:4" ht="28.8" x14ac:dyDescent="0.3">
      <c r="A62" s="5" t="s">
        <v>0</v>
      </c>
      <c r="B62" s="5" t="s">
        <v>1</v>
      </c>
      <c r="C62" s="5" t="s">
        <v>2</v>
      </c>
      <c r="D62" s="5" t="s">
        <v>3</v>
      </c>
    </row>
    <row r="63" spans="1:4" ht="115.2" x14ac:dyDescent="0.3">
      <c r="A63" s="1" t="s">
        <v>26</v>
      </c>
      <c r="B63" s="3" t="s">
        <v>30</v>
      </c>
      <c r="C63" s="3" t="s">
        <v>30</v>
      </c>
      <c r="D63" s="2">
        <v>0.4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A14" sqref="A14"/>
    </sheetView>
  </sheetViews>
  <sheetFormatPr baseColWidth="10" defaultColWidth="8.88671875" defaultRowHeight="14.4" x14ac:dyDescent="0.3"/>
  <cols>
    <col min="1" max="1" width="64" customWidth="1"/>
    <col min="2" max="2" width="14.109375" customWidth="1"/>
    <col min="3" max="3" width="15.88671875" customWidth="1"/>
    <col min="4" max="4" width="11.33203125" customWidth="1"/>
    <col min="5" max="5" width="50.88671875" customWidth="1"/>
  </cols>
  <sheetData>
    <row r="1" spans="1:5" ht="28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29</v>
      </c>
    </row>
    <row r="2" spans="1:5" ht="28.2" customHeight="1" x14ac:dyDescent="0.3">
      <c r="A2" s="1" t="s">
        <v>4</v>
      </c>
      <c r="B2" s="2">
        <v>0.99</v>
      </c>
      <c r="C2" s="2">
        <v>0.99</v>
      </c>
      <c r="D2" s="2">
        <v>0.63</v>
      </c>
      <c r="E2" s="4" t="s">
        <v>6</v>
      </c>
    </row>
    <row r="3" spans="1:5" ht="28.2" customHeight="1" x14ac:dyDescent="0.3">
      <c r="A3" s="1" t="s">
        <v>7</v>
      </c>
      <c r="B3" s="2">
        <v>0.84</v>
      </c>
      <c r="C3" s="2">
        <v>0.43</v>
      </c>
      <c r="D3" s="2">
        <v>0.63</v>
      </c>
      <c r="E3" s="4" t="s">
        <v>8</v>
      </c>
    </row>
    <row r="4" spans="1:5" ht="28.2" customHeight="1" x14ac:dyDescent="0.3">
      <c r="A4" s="1" t="s">
        <v>9</v>
      </c>
      <c r="B4" s="2">
        <v>0.52</v>
      </c>
      <c r="C4" s="2">
        <v>0.43</v>
      </c>
      <c r="D4" s="2">
        <v>0.63</v>
      </c>
      <c r="E4" s="4" t="s">
        <v>10</v>
      </c>
    </row>
    <row r="5" spans="1:5" ht="28.2" customHeight="1" x14ac:dyDescent="0.3">
      <c r="A5" s="1" t="s">
        <v>11</v>
      </c>
      <c r="B5" s="2">
        <v>0.78</v>
      </c>
      <c r="C5" s="2">
        <v>0.43</v>
      </c>
      <c r="D5" s="2">
        <v>0.63</v>
      </c>
      <c r="E5" s="4" t="s">
        <v>12</v>
      </c>
    </row>
    <row r="6" spans="1:5" ht="28.2" customHeight="1" x14ac:dyDescent="0.3">
      <c r="A6" s="1" t="s">
        <v>13</v>
      </c>
      <c r="B6" s="2">
        <v>0.81</v>
      </c>
      <c r="C6" s="2">
        <v>0.43</v>
      </c>
      <c r="D6" s="2">
        <v>0.63</v>
      </c>
      <c r="E6" s="4" t="s">
        <v>14</v>
      </c>
    </row>
    <row r="7" spans="1:5" ht="28.2" customHeight="1" x14ac:dyDescent="0.3">
      <c r="A7" s="1" t="s">
        <v>15</v>
      </c>
      <c r="B7" s="2">
        <v>0.79</v>
      </c>
      <c r="C7" s="2">
        <v>0.73</v>
      </c>
      <c r="D7" s="2">
        <v>0.63</v>
      </c>
      <c r="E7" s="4" t="s">
        <v>16</v>
      </c>
    </row>
    <row r="8" spans="1:5" ht="28.2" customHeight="1" x14ac:dyDescent="0.3">
      <c r="A8" s="1" t="s">
        <v>17</v>
      </c>
      <c r="B8" s="2">
        <v>0.79</v>
      </c>
      <c r="C8" s="3" t="s">
        <v>18</v>
      </c>
      <c r="D8" s="2">
        <v>0.63</v>
      </c>
      <c r="E8" s="4" t="s">
        <v>19</v>
      </c>
    </row>
    <row r="9" spans="1:5" ht="28.2" customHeight="1" x14ac:dyDescent="0.3">
      <c r="A9" s="1" t="s">
        <v>20</v>
      </c>
      <c r="B9" s="2">
        <v>0.79</v>
      </c>
      <c r="C9" s="3" t="s">
        <v>21</v>
      </c>
      <c r="D9" s="2">
        <v>0.63</v>
      </c>
      <c r="E9" s="4" t="s">
        <v>22</v>
      </c>
    </row>
    <row r="10" spans="1:5" ht="28.2" customHeight="1" x14ac:dyDescent="0.3">
      <c r="A10" s="1" t="s">
        <v>23</v>
      </c>
      <c r="B10" s="2">
        <v>0.79</v>
      </c>
      <c r="C10" s="2">
        <v>0.43</v>
      </c>
      <c r="D10" s="3" t="s">
        <v>24</v>
      </c>
      <c r="E10" s="4" t="s">
        <v>25</v>
      </c>
    </row>
    <row r="11" spans="1:5" ht="28.2" customHeight="1" x14ac:dyDescent="0.3">
      <c r="A11" s="1" t="s">
        <v>26</v>
      </c>
      <c r="B11" s="2">
        <v>0.79</v>
      </c>
      <c r="C11" s="2">
        <v>0.43</v>
      </c>
      <c r="D11" s="3" t="s">
        <v>27</v>
      </c>
      <c r="E11" s="4" t="s">
        <v>28</v>
      </c>
    </row>
    <row r="13" spans="1:5" x14ac:dyDescent="0.3">
      <c r="B13" s="6">
        <f>SUM(B2:B6)</f>
        <v>3.94</v>
      </c>
      <c r="C13" s="6">
        <f>SUM(C2,C7:C9)</f>
        <v>1.72</v>
      </c>
      <c r="D13" s="6">
        <v>1.25</v>
      </c>
    </row>
    <row r="14" spans="1:5" ht="30" customHeight="1" x14ac:dyDescent="0.3">
      <c r="A14" s="8"/>
      <c r="B14" s="7">
        <f>B13/5</f>
        <v>0.78800000000000003</v>
      </c>
      <c r="C14" s="7">
        <f>C13/4</f>
        <v>0.43</v>
      </c>
      <c r="D14" s="7">
        <f>D13/2</f>
        <v>0.625</v>
      </c>
    </row>
    <row r="15" spans="1:5" ht="30" customHeight="1" x14ac:dyDescent="0.3"/>
    <row r="16" spans="1:5" ht="30" customHeight="1" x14ac:dyDescent="0.3"/>
    <row r="17" ht="30" customHeight="1" x14ac:dyDescent="0.3"/>
    <row r="18" ht="30" customHeight="1" x14ac:dyDescent="0.3"/>
    <row r="19" ht="30" customHeight="1" x14ac:dyDescent="0.3"/>
    <row r="20" ht="30" customHeight="1" x14ac:dyDescent="0.3"/>
    <row r="21" ht="30" customHeight="1" x14ac:dyDescent="0.3"/>
    <row r="22" ht="30" customHeight="1" x14ac:dyDescent="0.3"/>
    <row r="23" ht="30" customHeight="1" x14ac:dyDescent="0.3"/>
    <row r="24" ht="30" customHeight="1" x14ac:dyDescent="0.3"/>
  </sheetData>
  <pageMargins left="0.7" right="0.7" top="0.75" bottom="0.75" header="0.3" footer="0.3"/>
  <pageSetup paperSize="9" orientation="portrait" r:id="rId1"/>
  <ignoredErrors>
    <ignoredError sqref="B1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tabSelected="1" topLeftCell="A2" zoomScale="62" zoomScaleNormal="56" workbookViewId="0">
      <selection activeCell="H9" sqref="H9"/>
    </sheetView>
  </sheetViews>
  <sheetFormatPr baseColWidth="10" defaultRowHeight="14.4" x14ac:dyDescent="0.3"/>
  <sheetData>
    <row r="1" spans="1:4" ht="28.8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129.6" x14ac:dyDescent="0.3">
      <c r="A2" s="1" t="s">
        <v>4</v>
      </c>
      <c r="B2" s="2">
        <v>0.99</v>
      </c>
      <c r="C2" s="2">
        <v>0.99</v>
      </c>
      <c r="D2" s="2">
        <v>0.63</v>
      </c>
    </row>
    <row r="8" spans="1:4" ht="28.8" x14ac:dyDescent="0.3">
      <c r="A8" s="5" t="s">
        <v>0</v>
      </c>
      <c r="B8" s="5" t="s">
        <v>1</v>
      </c>
      <c r="C8" s="5" t="s">
        <v>2</v>
      </c>
      <c r="D8" s="5" t="s">
        <v>3</v>
      </c>
    </row>
    <row r="9" spans="1:4" ht="129.6" x14ac:dyDescent="0.3">
      <c r="A9" s="1" t="s">
        <v>7</v>
      </c>
      <c r="B9" s="2">
        <v>0.84</v>
      </c>
      <c r="C9" s="2">
        <v>0.43</v>
      </c>
      <c r="D9" s="2">
        <v>0.63</v>
      </c>
    </row>
    <row r="14" spans="1:4" ht="28.8" x14ac:dyDescent="0.3">
      <c r="A14" s="5" t="s">
        <v>0</v>
      </c>
      <c r="B14" s="5" t="s">
        <v>1</v>
      </c>
      <c r="C14" s="5" t="s">
        <v>2</v>
      </c>
      <c r="D14" s="5" t="s">
        <v>3</v>
      </c>
    </row>
    <row r="15" spans="1:4" ht="86.4" x14ac:dyDescent="0.3">
      <c r="A15" s="1" t="s">
        <v>9</v>
      </c>
      <c r="B15" s="2">
        <v>0.52</v>
      </c>
      <c r="C15" s="2">
        <v>0.43</v>
      </c>
      <c r="D15" s="2">
        <v>0.63</v>
      </c>
    </row>
    <row r="22" spans="1:4" ht="28.8" x14ac:dyDescent="0.3">
      <c r="A22" s="5" t="s">
        <v>0</v>
      </c>
      <c r="B22" s="5" t="s">
        <v>1</v>
      </c>
      <c r="C22" s="5" t="s">
        <v>2</v>
      </c>
      <c r="D22" s="5" t="s">
        <v>3</v>
      </c>
    </row>
    <row r="23" spans="1:4" ht="100.8" x14ac:dyDescent="0.3">
      <c r="A23" s="1" t="s">
        <v>11</v>
      </c>
      <c r="B23" s="2">
        <v>0.78</v>
      </c>
      <c r="C23" s="2">
        <v>0.43</v>
      </c>
      <c r="D23" s="2">
        <v>0.63</v>
      </c>
    </row>
    <row r="29" spans="1:4" ht="28.8" x14ac:dyDescent="0.3">
      <c r="A29" s="5" t="s">
        <v>0</v>
      </c>
      <c r="B29" s="5" t="s">
        <v>1</v>
      </c>
      <c r="C29" s="5" t="s">
        <v>2</v>
      </c>
      <c r="D29" s="5" t="s">
        <v>3</v>
      </c>
    </row>
    <row r="30" spans="1:4" ht="72" x14ac:dyDescent="0.3">
      <c r="A30" s="1" t="s">
        <v>13</v>
      </c>
      <c r="B30" s="2">
        <v>0.81</v>
      </c>
      <c r="C30" s="2">
        <v>0.43</v>
      </c>
      <c r="D30" s="2">
        <v>0.63</v>
      </c>
    </row>
    <row r="39" spans="1:4" ht="28.8" x14ac:dyDescent="0.3">
      <c r="A39" s="5" t="s">
        <v>0</v>
      </c>
      <c r="B39" s="5" t="s">
        <v>1</v>
      </c>
      <c r="C39" s="5" t="s">
        <v>2</v>
      </c>
      <c r="D39" s="5" t="s">
        <v>3</v>
      </c>
    </row>
    <row r="40" spans="1:4" ht="115.2" x14ac:dyDescent="0.3">
      <c r="A40" s="1" t="s">
        <v>15</v>
      </c>
      <c r="B40" s="2">
        <v>0.79</v>
      </c>
      <c r="C40" s="2">
        <v>0.73</v>
      </c>
      <c r="D40" s="2">
        <v>0.63</v>
      </c>
    </row>
    <row r="46" spans="1:4" ht="28.8" x14ac:dyDescent="0.3">
      <c r="A46" s="5" t="s">
        <v>0</v>
      </c>
      <c r="B46" s="5" t="s">
        <v>1</v>
      </c>
      <c r="C46" s="5" t="s">
        <v>2</v>
      </c>
      <c r="D46" s="5" t="s">
        <v>3</v>
      </c>
    </row>
    <row r="47" spans="1:4" ht="129.6" x14ac:dyDescent="0.3">
      <c r="A47" s="1" t="s">
        <v>17</v>
      </c>
      <c r="B47" s="2">
        <v>0.79</v>
      </c>
      <c r="C47" s="2">
        <v>0.87</v>
      </c>
      <c r="D47" s="2">
        <v>0.63</v>
      </c>
    </row>
    <row r="50" spans="1:4" ht="28.8" x14ac:dyDescent="0.3">
      <c r="A50" s="5" t="s">
        <v>0</v>
      </c>
      <c r="B50" s="5" t="s">
        <v>1</v>
      </c>
      <c r="C50" s="5" t="s">
        <v>2</v>
      </c>
      <c r="D50" s="5" t="s">
        <v>3</v>
      </c>
    </row>
    <row r="51" spans="1:4" ht="115.2" x14ac:dyDescent="0.3">
      <c r="A51" s="1" t="s">
        <v>20</v>
      </c>
      <c r="B51" s="2">
        <v>0.79</v>
      </c>
      <c r="C51" s="2">
        <v>0.9</v>
      </c>
      <c r="D51" s="2">
        <v>0.63</v>
      </c>
    </row>
    <row r="57" spans="1:4" ht="28.8" x14ac:dyDescent="0.3">
      <c r="A57" s="5" t="s">
        <v>0</v>
      </c>
      <c r="B57" s="5" t="s">
        <v>1</v>
      </c>
      <c r="C57" s="5" t="s">
        <v>2</v>
      </c>
      <c r="D57" s="5" t="s">
        <v>3</v>
      </c>
    </row>
    <row r="58" spans="1:4" ht="144" x14ac:dyDescent="0.3">
      <c r="A58" s="1" t="s">
        <v>23</v>
      </c>
      <c r="B58" s="2">
        <v>0.79</v>
      </c>
      <c r="C58" s="2">
        <v>0.43</v>
      </c>
      <c r="D58" s="2">
        <v>0.85</v>
      </c>
    </row>
    <row r="62" spans="1:4" ht="28.8" x14ac:dyDescent="0.3">
      <c r="A62" s="5" t="s">
        <v>0</v>
      </c>
      <c r="B62" s="5" t="s">
        <v>1</v>
      </c>
      <c r="C62" s="5" t="s">
        <v>2</v>
      </c>
      <c r="D62" s="5" t="s">
        <v>3</v>
      </c>
    </row>
    <row r="63" spans="1:4" ht="115.2" x14ac:dyDescent="0.3">
      <c r="A63" s="1" t="s">
        <v>26</v>
      </c>
      <c r="B63" s="2">
        <v>0.79</v>
      </c>
      <c r="C63" s="2">
        <v>0.43</v>
      </c>
      <c r="D63" s="2">
        <v>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originales</vt:lpstr>
      <vt:lpstr>Graficos 1</vt:lpstr>
      <vt:lpstr>Datos añadidos</vt:lpstr>
      <vt:lpstr>Graficos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 qui</dc:creator>
  <cp:lastModifiedBy>MELANY LIZETH QUICENO TRIANA</cp:lastModifiedBy>
  <dcterms:created xsi:type="dcterms:W3CDTF">2025-10-26T00:44:15Z</dcterms:created>
  <dcterms:modified xsi:type="dcterms:W3CDTF">2025-10-26T17:31:39Z</dcterms:modified>
</cp:coreProperties>
</file>